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" sheetId="1" r:id="rId4"/>
    <sheet state="visible" name="GEN FUND" sheetId="2" r:id="rId5"/>
    <sheet state="visible" name="SEF" sheetId="3" r:id="rId6"/>
    <sheet state="visible" name="TRUST FUND" sheetId="4" r:id="rId7"/>
  </sheets>
  <definedNames/>
  <calcPr/>
  <extLst>
    <ext uri="GoogleSheetsCustomDataVersion2">
      <go:sheetsCustomData xmlns:go="http://customooxmlschemas.google.com/" r:id="rId8" roundtripDataChecksum="L+C9fi+5V9NfGHU6gmdVKY5VisdNaI7a5Zo+JFqTZOA="/>
    </ext>
  </extLst>
</workbook>
</file>

<file path=xl/sharedStrings.xml><?xml version="1.0" encoding="utf-8"?>
<sst xmlns="http://schemas.openxmlformats.org/spreadsheetml/2006/main" count="185" uniqueCount="56">
  <si>
    <t>FDP Form 9 - Statement of Cash Flows</t>
  </si>
  <si>
    <t>(BLGF Memorandum Circular No. 09 - 2012 dated February 21, 2012, Annex 2)</t>
  </si>
  <si>
    <t>STATEMENT OF CASH FLOWS</t>
  </si>
  <si>
    <t>REGION:</t>
  </si>
  <si>
    <t>REGION VII - CENTRAL VISAYAS</t>
  </si>
  <si>
    <t>CALENDAR YEAR:</t>
  </si>
  <si>
    <t>PROVINCE:</t>
  </si>
  <si>
    <t>CEBU</t>
  </si>
  <si>
    <t>QUARTER:</t>
  </si>
  <si>
    <t>CITY/MUNICIPALITY:</t>
  </si>
  <si>
    <t xml:space="preserve">CITY OF CEBU </t>
  </si>
  <si>
    <t>TRUST FUND</t>
  </si>
  <si>
    <t>GENERAL FUND</t>
  </si>
  <si>
    <t>SPECIAL EDUCATION FUND</t>
  </si>
  <si>
    <t>Cash Flows From Operating Activities:</t>
  </si>
  <si>
    <t>COMBINED</t>
  </si>
  <si>
    <t>Cash Inflows:</t>
  </si>
  <si>
    <t>Collection of Receivables</t>
  </si>
  <si>
    <t>Collection from Taxpayers</t>
  </si>
  <si>
    <t>Receipt of Interest Income</t>
  </si>
  <si>
    <t>Share from Internal Revenue Allotment</t>
  </si>
  <si>
    <t>Other Receipts</t>
  </si>
  <si>
    <t>Receipts from Business/Service Income</t>
  </si>
  <si>
    <t>Adjustments</t>
  </si>
  <si>
    <t>Total Cash Inflow</t>
  </si>
  <si>
    <t>Cash Outflows:</t>
  </si>
  <si>
    <t>Payment of Expenses</t>
  </si>
  <si>
    <t>Payments to Suppliers/Creditors</t>
  </si>
  <si>
    <t>Payments to Employees</t>
  </si>
  <si>
    <t>Other Disbursements</t>
  </si>
  <si>
    <t>Payment to Suppliers/Creditors</t>
  </si>
  <si>
    <t>Total Cash Outflow</t>
  </si>
  <si>
    <t>Net Cash from Operating Activities</t>
  </si>
  <si>
    <t>Payment to Suppliers / Creditors</t>
  </si>
  <si>
    <t>Cash Flows from Investing Activities</t>
  </si>
  <si>
    <t>Purchase/Construction of Property, Plant and Equipment Infrastructures</t>
  </si>
  <si>
    <t>Net Cash from Investing Activities</t>
  </si>
  <si>
    <t>Net Increase in Cash</t>
  </si>
  <si>
    <t>Cash Balance, December 01, 2025</t>
  </si>
  <si>
    <t>Cash Flows From Investing Activities:</t>
  </si>
  <si>
    <t>Cash Balance, Ending December 31, 2025</t>
  </si>
  <si>
    <t>Purchase/Construction of Property, Plant &amp; Equipment Infrastructures</t>
  </si>
  <si>
    <t xml:space="preserve">         </t>
  </si>
  <si>
    <t>Payments to Suppliers / Creditors</t>
  </si>
  <si>
    <t>We hereby certify that we have reviewed the contents and hereby attest to the veracity and correctness of the data or information contained in this document.</t>
  </si>
  <si>
    <t xml:space="preserve">  (sgd.)</t>
  </si>
  <si>
    <t xml:space="preserve">                  (sgd.)</t>
  </si>
  <si>
    <t>GILBERT L. TABASA, CPA</t>
  </si>
  <si>
    <t>HON. NESTOR D. ARCHIVAL</t>
  </si>
  <si>
    <t>Local Accountant</t>
  </si>
  <si>
    <t>Local Chief Executive</t>
  </si>
  <si>
    <t xml:space="preserve">* Cash presented excludes Cash in Bank - Local Currency and Foreign Currency (Time Deposit) as per COA Circular </t>
  </si>
  <si>
    <t>No. 2020-004 dated January 31, 2020 which explicitly classifies Cash in Bank - Time Deposit under Investments.</t>
  </si>
  <si>
    <t xml:space="preserve">   </t>
  </si>
  <si>
    <t>* Data presented pertain only to December 2025, as the First Quarter CY 2026 Financial Statements are still in process.</t>
  </si>
  <si>
    <t xml:space="preserve">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</si>
</sst>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_-* #,##0.00_-;\-* #,##0.00_-;_-* &quot;-&quot;??_-;_-@"/>
  </numFmts>
  <fonts count="9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8.0"/>
      <color rgb="FF000000"/>
      <name val="Arial"/>
    </font>
    <font>
      <u/>
      <sz val="11.0"/>
      <color rgb="FF0000FF"/>
      <name val="Calibri"/>
    </font>
    <font>
      <sz val="9.0"/>
      <color rgb="FF000000"/>
      <name val="Calibri"/>
    </font>
    <font>
      <b/>
      <u/>
      <sz val="11.0"/>
      <color rgb="FF000000"/>
      <name val="Calibri"/>
    </font>
    <font>
      <i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center" wrapText="0"/>
    </xf>
    <xf borderId="1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0" fillId="0" fontId="2" numFmtId="164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center" wrapText="0"/>
    </xf>
    <xf borderId="0" fillId="0" fontId="2" numFmtId="4" xfId="0" applyAlignment="1" applyFont="1" applyNumberFormat="1">
      <alignment shrinkToFit="0" vertical="center" wrapText="0"/>
    </xf>
    <xf borderId="6" fillId="0" fontId="2" numFmtId="164" xfId="0" applyAlignment="1" applyBorder="1" applyFont="1" applyNumberFormat="1">
      <alignment shrinkToFit="0" vertical="center" wrapText="0"/>
    </xf>
    <xf borderId="5" fillId="0" fontId="2" numFmtId="164" xfId="0" applyAlignment="1" applyBorder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7" fillId="0" fontId="2" numFmtId="4" xfId="0" applyAlignment="1" applyBorder="1" applyFont="1" applyNumberFormat="1">
      <alignment shrinkToFit="0" vertical="bottom" wrapText="0"/>
    </xf>
    <xf borderId="7" fillId="0" fontId="2" numFmtId="164" xfId="0" applyAlignment="1" applyBorder="1" applyFont="1" applyNumberFormat="1">
      <alignment shrinkToFit="0" vertical="bottom" wrapText="0"/>
    </xf>
    <xf borderId="6" fillId="0" fontId="2" numFmtId="164" xfId="0" applyAlignment="1" applyBorder="1" applyFont="1" applyNumberFormat="1">
      <alignment shrinkToFit="0" vertical="bottom" wrapText="0"/>
    </xf>
    <xf borderId="0" fillId="0" fontId="2" numFmtId="0" xfId="0" applyAlignment="1" applyFont="1">
      <alignment horizontal="left" shrinkToFit="0" vertical="bottom" wrapText="1"/>
    </xf>
    <xf borderId="8" fillId="0" fontId="2" numFmtId="164" xfId="0" applyAlignment="1" applyBorder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9" fillId="0" fontId="2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shrinkToFit="0" vertical="bottom" wrapText="0"/>
    </xf>
    <xf borderId="10" fillId="0" fontId="2" numFmtId="0" xfId="0" applyAlignment="1" applyBorder="1" applyFont="1">
      <alignment shrinkToFit="0" vertical="bottom" wrapText="0"/>
    </xf>
    <xf borderId="0" fillId="0" fontId="6" numFmtId="0" xfId="0" applyAlignment="1" applyFont="1">
      <alignment horizontal="left" shrinkToFit="0" vertical="bottom" wrapText="1"/>
    </xf>
    <xf borderId="0" fillId="0" fontId="7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left" shrinkToFit="0" vertical="bottom" wrapText="1"/>
    </xf>
    <xf borderId="0" fillId="0" fontId="8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0"/>
    </xf>
    <xf borderId="10" fillId="0" fontId="2" numFmtId="164" xfId="0" applyAlignment="1" applyBorder="1" applyFont="1" applyNumberFormat="1">
      <alignment shrinkToFit="0" vertical="bottom" wrapText="0"/>
    </xf>
    <xf borderId="0" fillId="0" fontId="2" numFmtId="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29"/>
    <col customWidth="1" min="2" max="6" width="9.71"/>
    <col customWidth="1" min="7" max="7" width="9.14"/>
    <col customWidth="1" min="8" max="8" width="11.43"/>
    <col customWidth="1" min="9" max="9" width="17.71"/>
    <col customWidth="1" min="10" max="10" width="18.0"/>
    <col customWidth="1" min="11" max="11" width="1.29"/>
    <col customWidth="1" min="12" max="13" width="16.86"/>
    <col customWidth="1" min="14" max="26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ht="14.25" customHeight="1">
      <c r="A4" s="3" t="s">
        <v>2</v>
      </c>
    </row>
    <row r="5" ht="14.25" customHeight="1">
      <c r="A5" s="4"/>
      <c r="B5" s="5"/>
      <c r="C5" s="5"/>
      <c r="D5" s="5"/>
      <c r="E5" s="4"/>
      <c r="F5" s="4"/>
    </row>
    <row r="6" ht="14.25" customHeight="1">
      <c r="A6" s="6" t="s">
        <v>3</v>
      </c>
      <c r="B6" s="2"/>
      <c r="C6" s="2"/>
      <c r="D6" s="6" t="s">
        <v>4</v>
      </c>
      <c r="E6" s="2"/>
      <c r="F6" s="2"/>
      <c r="H6" s="6" t="s">
        <v>5</v>
      </c>
      <c r="I6" s="2"/>
      <c r="J6" s="4">
        <v>2026.0</v>
      </c>
    </row>
    <row r="7" ht="14.25" customHeight="1">
      <c r="A7" s="5" t="s">
        <v>6</v>
      </c>
      <c r="B7" s="2"/>
      <c r="C7" s="2"/>
      <c r="D7" s="1" t="s">
        <v>7</v>
      </c>
      <c r="E7" s="2"/>
      <c r="F7" s="2"/>
      <c r="H7" s="7" t="s">
        <v>8</v>
      </c>
      <c r="I7" s="2"/>
      <c r="J7" s="8">
        <v>1.0</v>
      </c>
    </row>
    <row r="8" ht="14.25" customHeight="1">
      <c r="A8" s="5" t="s">
        <v>9</v>
      </c>
      <c r="B8" s="2"/>
      <c r="C8" s="2"/>
      <c r="D8" s="1" t="s">
        <v>10</v>
      </c>
      <c r="E8" s="2"/>
      <c r="F8" s="2"/>
      <c r="G8" s="2"/>
      <c r="H8" s="2"/>
      <c r="I8" s="2"/>
      <c r="J8" s="2"/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J9" s="2"/>
    </row>
    <row r="10" ht="14.25" customHeight="1">
      <c r="A10" s="3" t="s">
        <v>15</v>
      </c>
    </row>
    <row r="11" ht="13.5" customHeight="1"/>
    <row r="12" ht="14.25" customHeight="1">
      <c r="A12" s="10"/>
      <c r="B12" s="11" t="s">
        <v>14</v>
      </c>
      <c r="C12" s="11"/>
      <c r="D12" s="11"/>
      <c r="E12" s="11"/>
      <c r="F12" s="11"/>
      <c r="G12" s="11"/>
      <c r="H12" s="11"/>
      <c r="I12" s="11"/>
      <c r="J12" s="11"/>
      <c r="K12" s="12"/>
    </row>
    <row r="13" ht="14.25" customHeight="1">
      <c r="A13" s="13"/>
      <c r="C13" s="1" t="s">
        <v>16</v>
      </c>
      <c r="K13" s="14"/>
    </row>
    <row r="14" ht="14.25" customHeight="1">
      <c r="A14" s="13"/>
      <c r="D14" s="1" t="s">
        <v>18</v>
      </c>
      <c r="I14" s="16">
        <f>'GEN FUND'!I15+SEF!I15</f>
        <v>490550776.3</v>
      </c>
      <c r="J14" s="16"/>
      <c r="K14" s="20"/>
    </row>
    <row r="15" ht="14.25" customHeight="1">
      <c r="A15" s="13"/>
      <c r="D15" s="1" t="s">
        <v>20</v>
      </c>
      <c r="I15" s="16">
        <f>'GEN FUND'!I16</f>
        <v>286780899</v>
      </c>
      <c r="J15" s="16"/>
      <c r="K15" s="20"/>
    </row>
    <row r="16" ht="14.25" customHeight="1">
      <c r="A16" s="13"/>
      <c r="D16" s="1" t="s">
        <v>22</v>
      </c>
      <c r="I16" s="16">
        <f>'GEN FUND'!I17</f>
        <v>37130513.09</v>
      </c>
      <c r="J16" s="16"/>
      <c r="K16" s="20"/>
    </row>
    <row r="17" ht="14.25" customHeight="1">
      <c r="A17" s="13"/>
      <c r="D17" s="1" t="s">
        <v>17</v>
      </c>
      <c r="I17" s="16">
        <f>'GEN FUND'!I18+'TRUST FUND'!I14</f>
        <v>39006</v>
      </c>
      <c r="J17" s="16"/>
      <c r="K17" s="20"/>
    </row>
    <row r="18" ht="14.25" customHeight="1">
      <c r="A18" s="13"/>
      <c r="D18" s="1" t="s">
        <v>19</v>
      </c>
      <c r="I18" s="16">
        <f>'GEN FUND'!I19+SEF!I16+'TRUST FUND'!I15</f>
        <v>17999761.94</v>
      </c>
      <c r="J18" s="16"/>
      <c r="K18" s="20"/>
    </row>
    <row r="19" ht="14.25" customHeight="1">
      <c r="A19" s="13"/>
      <c r="D19" s="1" t="s">
        <v>21</v>
      </c>
      <c r="I19" s="16">
        <f>'GEN FUND'!I20+SEF!I17+'TRUST FUND'!I16</f>
        <v>228403387.1</v>
      </c>
      <c r="J19" s="16"/>
      <c r="K19" s="20"/>
    </row>
    <row r="20" ht="14.25" customHeight="1">
      <c r="A20" s="13"/>
      <c r="D20" s="1" t="s">
        <v>23</v>
      </c>
      <c r="I20" s="16">
        <f>'GEN FUND'!I21+SEF!I18+'TRUST FUND'!I17</f>
        <v>-825196.76</v>
      </c>
      <c r="J20" s="16"/>
      <c r="K20" s="20"/>
    </row>
    <row r="21" ht="14.25" customHeight="1">
      <c r="A21" s="13"/>
      <c r="D21" s="1" t="s">
        <v>24</v>
      </c>
      <c r="I21" s="23">
        <f>SUM(I14:I20)</f>
        <v>1060079147</v>
      </c>
      <c r="J21" s="16"/>
      <c r="K21" s="20"/>
      <c r="L21" s="16"/>
    </row>
    <row r="22" ht="14.25" customHeight="1">
      <c r="A22" s="13"/>
      <c r="C22" s="1" t="s">
        <v>25</v>
      </c>
      <c r="J22" s="16"/>
      <c r="K22" s="20"/>
    </row>
    <row r="23" ht="14.25" customHeight="1">
      <c r="A23" s="13"/>
      <c r="D23" s="1" t="s">
        <v>26</v>
      </c>
      <c r="I23" s="16">
        <f>'GEN FUND'!I24+SEF!I21+'TRUST FUND'!I20</f>
        <v>502937711.3</v>
      </c>
      <c r="J23" s="16"/>
      <c r="K23" s="20"/>
      <c r="M23" s="1" t="s">
        <v>42</v>
      </c>
    </row>
    <row r="24" ht="14.25" customHeight="1">
      <c r="A24" s="13"/>
      <c r="D24" s="1" t="s">
        <v>43</v>
      </c>
      <c r="I24" s="16">
        <f>'GEN FUND'!I25+SEF!I22+'TRUST FUND'!I21</f>
        <v>146343686.7</v>
      </c>
      <c r="J24" s="16"/>
      <c r="K24" s="20"/>
    </row>
    <row r="25" ht="14.25" customHeight="1">
      <c r="A25" s="13"/>
      <c r="D25" s="1" t="s">
        <v>28</v>
      </c>
      <c r="I25" s="16">
        <f>'GEN FUND'!I26+SEF!I23+'TRUST FUND'!I22</f>
        <v>477905808</v>
      </c>
      <c r="J25" s="16"/>
      <c r="K25" s="20"/>
    </row>
    <row r="26" ht="14.25" customHeight="1">
      <c r="A26" s="13"/>
      <c r="D26" s="1" t="s">
        <v>29</v>
      </c>
      <c r="I26" s="16">
        <f>'GEN FUND'!I27+SEF!I24+'TRUST FUND'!I23</f>
        <v>368857160.5</v>
      </c>
      <c r="J26" s="16"/>
      <c r="K26" s="20"/>
    </row>
    <row r="27" ht="14.25" customHeight="1">
      <c r="A27" s="13"/>
      <c r="D27" s="1" t="s">
        <v>23</v>
      </c>
      <c r="I27" s="24">
        <f>'GEN FUND'!I28</f>
        <v>-68288482.08</v>
      </c>
      <c r="J27" s="16"/>
      <c r="K27" s="20"/>
    </row>
    <row r="28" ht="14.25" customHeight="1">
      <c r="A28" s="13"/>
      <c r="D28" s="1" t="s">
        <v>31</v>
      </c>
      <c r="I28" s="24">
        <f>SUM(I23:I27)</f>
        <v>1427755884</v>
      </c>
      <c r="J28" s="16"/>
      <c r="K28" s="20"/>
      <c r="L28" s="16"/>
    </row>
    <row r="29" ht="14.25" customHeight="1">
      <c r="A29" s="13"/>
      <c r="C29" s="1" t="s">
        <v>32</v>
      </c>
      <c r="I29" s="23">
        <f>I21-I28</f>
        <v>-367676737.6</v>
      </c>
      <c r="J29" s="16"/>
      <c r="K29" s="20"/>
      <c r="L29" s="16"/>
    </row>
    <row r="30" ht="14.25" customHeight="1">
      <c r="A30" s="13"/>
      <c r="J30" s="16"/>
      <c r="K30" s="20"/>
    </row>
    <row r="31" ht="14.25" customHeight="1">
      <c r="A31" s="13"/>
      <c r="B31" s="1" t="s">
        <v>34</v>
      </c>
      <c r="J31" s="16"/>
      <c r="K31" s="20"/>
    </row>
    <row r="32" ht="14.25" customHeight="1">
      <c r="A32" s="13"/>
      <c r="C32" s="1" t="s">
        <v>25</v>
      </c>
      <c r="J32" s="16"/>
      <c r="K32" s="20"/>
    </row>
    <row r="33" ht="14.25" customHeight="1">
      <c r="A33" s="13"/>
      <c r="D33" s="25" t="s">
        <v>35</v>
      </c>
      <c r="J33" s="16"/>
      <c r="K33" s="20"/>
    </row>
    <row r="34" ht="14.25" customHeight="1">
      <c r="A34" s="13"/>
      <c r="I34" s="16">
        <f>+'GEN FUND'!I35+SEF!I32+'TRUST FUND'!I31</f>
        <v>0</v>
      </c>
      <c r="J34" s="16"/>
      <c r="K34" s="20"/>
    </row>
    <row r="35" ht="14.25" customHeight="1">
      <c r="A35" s="13"/>
      <c r="C35" s="1" t="s">
        <v>36</v>
      </c>
      <c r="I35" s="23">
        <f>-I34</f>
        <v>0</v>
      </c>
      <c r="J35" s="16"/>
      <c r="K35" s="20"/>
      <c r="M35" s="1" t="s">
        <v>55</v>
      </c>
    </row>
    <row r="36" ht="14.25" customHeight="1">
      <c r="A36" s="13"/>
      <c r="K36" s="14"/>
    </row>
    <row r="37" ht="14.25" customHeight="1">
      <c r="A37" s="13" t="s">
        <v>37</v>
      </c>
      <c r="J37" s="16">
        <f>I29+I35</f>
        <v>-367676737.6</v>
      </c>
      <c r="K37" s="20"/>
      <c r="L37" s="16"/>
      <c r="M37" s="16"/>
    </row>
    <row r="38" ht="14.25" customHeight="1">
      <c r="A38" s="13" t="s">
        <v>38</v>
      </c>
      <c r="J38" s="24">
        <f>'GEN FUND'!J39+SEF!J37+'TRUST FUND'!J35</f>
        <v>9394545011</v>
      </c>
      <c r="K38" s="20"/>
      <c r="L38" s="16"/>
    </row>
    <row r="39" ht="15.75" customHeight="1">
      <c r="A39" s="13" t="s">
        <v>40</v>
      </c>
      <c r="J39" s="26">
        <f>SUM(J37:J38)</f>
        <v>9026868274</v>
      </c>
      <c r="K39" s="20"/>
      <c r="L39" s="16"/>
      <c r="M39" s="16"/>
    </row>
    <row r="40" ht="15.75" customHeight="1">
      <c r="A40" s="28"/>
      <c r="B40" s="29"/>
      <c r="C40" s="29"/>
      <c r="D40" s="29"/>
      <c r="E40" s="29"/>
      <c r="F40" s="29"/>
      <c r="G40" s="29"/>
      <c r="H40" s="29"/>
      <c r="I40" s="29"/>
      <c r="J40" s="29"/>
      <c r="K40" s="36"/>
      <c r="L40" s="27"/>
      <c r="M40" s="16"/>
    </row>
    <row r="41" ht="10.5" customHeight="1">
      <c r="I41" s="37"/>
    </row>
    <row r="42" ht="14.25" customHeight="1">
      <c r="A42" s="31" t="s">
        <v>44</v>
      </c>
    </row>
    <row r="43" ht="14.25" customHeight="1"/>
    <row r="44" ht="14.25" customHeight="1"/>
    <row r="45" ht="14.25" customHeight="1">
      <c r="D45" s="1" t="s">
        <v>45</v>
      </c>
      <c r="I45" s="1" t="s">
        <v>46</v>
      </c>
    </row>
    <row r="46" ht="14.25" customHeight="1">
      <c r="B46" s="32" t="s">
        <v>47</v>
      </c>
      <c r="G46" s="5"/>
      <c r="H46" s="32" t="s">
        <v>48</v>
      </c>
    </row>
    <row r="47" ht="14.25" customHeight="1">
      <c r="B47" s="2" t="s">
        <v>49</v>
      </c>
      <c r="H47" s="2" t="s">
        <v>50</v>
      </c>
    </row>
    <row r="48" ht="12.0" customHeight="1"/>
    <row r="49" ht="12.0" customHeight="1"/>
    <row r="50" ht="16.5" customHeight="1">
      <c r="A50" s="33" t="s">
        <v>51</v>
      </c>
    </row>
    <row r="51" ht="15.0" customHeight="1">
      <c r="A51" s="34"/>
      <c r="B51" s="33" t="s">
        <v>52</v>
      </c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4.25" customHeight="1">
      <c r="A52" s="35" t="s">
        <v>54</v>
      </c>
    </row>
    <row r="53" ht="14.25" customHeight="1">
      <c r="B53" s="35"/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6.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6.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B47:F47"/>
    <mergeCell ref="A50:J50"/>
    <mergeCell ref="B51:J51"/>
    <mergeCell ref="A4:J4"/>
    <mergeCell ref="A10:J10"/>
    <mergeCell ref="D33:H34"/>
    <mergeCell ref="A42:J43"/>
    <mergeCell ref="B46:F46"/>
    <mergeCell ref="H46:J46"/>
    <mergeCell ref="H47:J47"/>
  </mergeCells>
  <printOptions horizontalCentered="1"/>
  <pageMargins bottom="0.0" footer="0.0" header="0.0" left="0.0" right="0.0" top="0.0"/>
  <pageSetup paperSize="9" orientation="portrait"/>
  <headerFoot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43"/>
    <col customWidth="1" min="2" max="6" width="9.71"/>
    <col customWidth="1" min="7" max="7" width="8.71"/>
    <col customWidth="1" min="8" max="8" width="10.57"/>
    <col customWidth="1" min="9" max="9" width="17.71"/>
    <col customWidth="1" min="10" max="10" width="18.0"/>
    <col customWidth="1" min="11" max="11" width="1.43"/>
    <col customWidth="1" min="12" max="12" width="16.86"/>
    <col customWidth="1" min="13" max="13" width="8.71"/>
    <col customWidth="1" min="14" max="14" width="13.29"/>
    <col customWidth="1" min="15" max="26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3.5" customHeight="1"/>
    <row r="5" ht="14.25" customHeight="1">
      <c r="A5" s="3" t="s">
        <v>2</v>
      </c>
    </row>
    <row r="6" ht="14.25" customHeight="1">
      <c r="A6" s="4"/>
      <c r="B6" s="5"/>
      <c r="C6" s="5"/>
      <c r="D6" s="5"/>
      <c r="E6" s="4"/>
      <c r="F6" s="4"/>
    </row>
    <row r="7" ht="14.25" customHeight="1">
      <c r="A7" s="6" t="s">
        <v>3</v>
      </c>
      <c r="B7" s="2"/>
      <c r="C7" s="2"/>
      <c r="D7" s="6" t="s">
        <v>4</v>
      </c>
      <c r="E7" s="2"/>
      <c r="F7" s="2"/>
      <c r="H7" s="6" t="s">
        <v>5</v>
      </c>
      <c r="I7" s="2"/>
      <c r="J7" s="4">
        <v>2026.0</v>
      </c>
    </row>
    <row r="8" ht="14.25" customHeight="1">
      <c r="A8" s="5" t="s">
        <v>6</v>
      </c>
      <c r="B8" s="2"/>
      <c r="C8" s="2"/>
      <c r="D8" s="1" t="s">
        <v>7</v>
      </c>
      <c r="E8" s="2"/>
      <c r="F8" s="2"/>
      <c r="H8" s="7" t="s">
        <v>8</v>
      </c>
      <c r="I8" s="2"/>
      <c r="J8" s="8">
        <v>1.0</v>
      </c>
    </row>
    <row r="9" ht="14.25" customHeight="1">
      <c r="A9" s="5" t="s">
        <v>9</v>
      </c>
      <c r="B9" s="2"/>
      <c r="C9" s="2"/>
      <c r="D9" s="1" t="s">
        <v>10</v>
      </c>
      <c r="E9" s="2"/>
      <c r="F9" s="2"/>
      <c r="G9" s="2"/>
      <c r="H9" s="2"/>
      <c r="I9" s="2"/>
      <c r="J9" s="2"/>
    </row>
    <row r="10" ht="14.25" customHeight="1">
      <c r="B10" s="2"/>
    </row>
    <row r="11" ht="14.25" customHeight="1">
      <c r="A11" s="3" t="s">
        <v>12</v>
      </c>
    </row>
    <row r="12" ht="14.25" customHeight="1"/>
    <row r="13" ht="14.25" customHeight="1">
      <c r="A13" s="10"/>
      <c r="B13" s="11" t="s">
        <v>14</v>
      </c>
      <c r="C13" s="11"/>
      <c r="D13" s="11"/>
      <c r="E13" s="11"/>
      <c r="F13" s="11"/>
      <c r="G13" s="11"/>
      <c r="H13" s="11"/>
      <c r="I13" s="11"/>
      <c r="J13" s="11"/>
      <c r="K13" s="12"/>
    </row>
    <row r="14" ht="14.25" customHeight="1">
      <c r="A14" s="13"/>
      <c r="C14" s="1" t="s">
        <v>16</v>
      </c>
      <c r="K14" s="14"/>
    </row>
    <row r="15" ht="14.25" customHeight="1">
      <c r="A15" s="13"/>
      <c r="D15" s="1" t="s">
        <v>18</v>
      </c>
      <c r="I15" s="16">
        <v>3.8265526308E8</v>
      </c>
      <c r="K15" s="14"/>
    </row>
    <row r="16" ht="14.25" customHeight="1">
      <c r="A16" s="13"/>
      <c r="D16" s="1" t="s">
        <v>20</v>
      </c>
      <c r="I16" s="16">
        <v>2.86780899E8</v>
      </c>
      <c r="K16" s="14"/>
    </row>
    <row r="17" ht="14.25" customHeight="1">
      <c r="A17" s="13"/>
      <c r="D17" s="1" t="s">
        <v>22</v>
      </c>
      <c r="I17" s="16">
        <v>3.713051309E7</v>
      </c>
      <c r="K17" s="14"/>
    </row>
    <row r="18" ht="14.25" customHeight="1">
      <c r="A18" s="13"/>
      <c r="D18" s="1" t="s">
        <v>17</v>
      </c>
      <c r="I18" s="16">
        <v>37506.0</v>
      </c>
      <c r="K18" s="14"/>
    </row>
    <row r="19" ht="14.25" customHeight="1">
      <c r="A19" s="13"/>
      <c r="D19" s="1" t="s">
        <v>19</v>
      </c>
      <c r="I19" s="16">
        <f>10607147.22-53521.28-53521.28</f>
        <v>10500104.66</v>
      </c>
      <c r="K19" s="14"/>
    </row>
    <row r="20" ht="14.25" customHeight="1">
      <c r="A20" s="13"/>
      <c r="D20" s="1" t="s">
        <v>21</v>
      </c>
      <c r="I20" s="16">
        <v>2.0342353153E8</v>
      </c>
      <c r="K20" s="14"/>
    </row>
    <row r="21" ht="14.25" customHeight="1">
      <c r="A21" s="13"/>
      <c r="D21" s="1" t="s">
        <v>23</v>
      </c>
      <c r="I21" s="19">
        <f>-409182.51-11194.64-140075.01-258228.25</f>
        <v>-818680.41</v>
      </c>
      <c r="K21" s="14"/>
    </row>
    <row r="22" ht="14.25" customHeight="1">
      <c r="A22" s="13"/>
      <c r="D22" s="1" t="s">
        <v>24</v>
      </c>
      <c r="I22" s="23">
        <f>SUM(I15:I21)</f>
        <v>919709137</v>
      </c>
      <c r="K22" s="14"/>
    </row>
    <row r="23" ht="14.25" customHeight="1">
      <c r="A23" s="13"/>
      <c r="C23" s="1" t="s">
        <v>25</v>
      </c>
      <c r="K23" s="14"/>
    </row>
    <row r="24" ht="14.25" customHeight="1">
      <c r="A24" s="13"/>
      <c r="D24" s="1" t="s">
        <v>26</v>
      </c>
      <c r="I24" s="16">
        <v>4.3742762077E8</v>
      </c>
      <c r="K24" s="14"/>
    </row>
    <row r="25" ht="14.25" customHeight="1">
      <c r="A25" s="13"/>
      <c r="D25" s="1" t="s">
        <v>33</v>
      </c>
      <c r="I25" s="16">
        <v>1.4004763051E8</v>
      </c>
      <c r="K25" s="14"/>
    </row>
    <row r="26" ht="14.25" customHeight="1">
      <c r="A26" s="13"/>
      <c r="D26" s="1" t="s">
        <v>28</v>
      </c>
      <c r="I26" s="16">
        <v>3.9692894456E8</v>
      </c>
      <c r="K26" s="14"/>
    </row>
    <row r="27" ht="14.25" customHeight="1">
      <c r="A27" s="13"/>
      <c r="D27" s="1" t="s">
        <v>29</v>
      </c>
      <c r="I27" s="16">
        <v>3.636911381E8</v>
      </c>
      <c r="K27" s="14"/>
    </row>
    <row r="28" ht="14.25" customHeight="1">
      <c r="A28" s="13"/>
      <c r="D28" s="1" t="s">
        <v>23</v>
      </c>
      <c r="I28" s="24">
        <f>2789988.71-433705.81-70644764.98</f>
        <v>-68288482.08</v>
      </c>
      <c r="K28" s="14"/>
    </row>
    <row r="29" ht="14.25" customHeight="1">
      <c r="A29" s="13"/>
      <c r="D29" s="1" t="s">
        <v>31</v>
      </c>
      <c r="I29" s="23">
        <f>SUM(I24:I28)</f>
        <v>1269806852</v>
      </c>
      <c r="K29" s="14"/>
    </row>
    <row r="30" ht="14.25" customHeight="1">
      <c r="A30" s="13"/>
      <c r="C30" s="1" t="s">
        <v>32</v>
      </c>
      <c r="I30" s="24">
        <f>I22-I29</f>
        <v>-350097714.9</v>
      </c>
      <c r="K30" s="14"/>
    </row>
    <row r="31" ht="14.25" customHeight="1">
      <c r="A31" s="13"/>
      <c r="K31" s="14"/>
    </row>
    <row r="32" ht="14.25" customHeight="1">
      <c r="A32" s="13"/>
      <c r="B32" s="1" t="s">
        <v>34</v>
      </c>
      <c r="K32" s="14"/>
    </row>
    <row r="33" ht="14.25" customHeight="1">
      <c r="A33" s="13"/>
      <c r="C33" s="1" t="s">
        <v>25</v>
      </c>
      <c r="K33" s="14"/>
    </row>
    <row r="34" ht="14.25" customHeight="1">
      <c r="A34" s="13"/>
      <c r="D34" s="25" t="s">
        <v>35</v>
      </c>
      <c r="K34" s="14"/>
    </row>
    <row r="35" ht="14.25" customHeight="1">
      <c r="A35" s="13"/>
      <c r="I35" s="16">
        <v>0.0</v>
      </c>
      <c r="K35" s="14"/>
    </row>
    <row r="36" ht="14.25" customHeight="1">
      <c r="A36" s="13"/>
      <c r="C36" s="1" t="s">
        <v>36</v>
      </c>
      <c r="I36" s="23">
        <f>-I35</f>
        <v>0</v>
      </c>
      <c r="K36" s="14"/>
    </row>
    <row r="37" ht="14.25" customHeight="1">
      <c r="A37" s="13"/>
      <c r="K37" s="14"/>
    </row>
    <row r="38" ht="14.25" customHeight="1">
      <c r="A38" s="13" t="s">
        <v>37</v>
      </c>
      <c r="J38" s="16">
        <f>I30+I36</f>
        <v>-350097714.9</v>
      </c>
      <c r="K38" s="14"/>
    </row>
    <row r="39" ht="14.25" customHeight="1">
      <c r="A39" s="13" t="s">
        <v>38</v>
      </c>
      <c r="J39" s="19">
        <v>4.98069800314E9</v>
      </c>
      <c r="K39" s="14"/>
      <c r="L39" s="16"/>
    </row>
    <row r="40" ht="15.75" customHeight="1">
      <c r="A40" s="13" t="s">
        <v>40</v>
      </c>
      <c r="J40" s="26">
        <f>SUM(J38:J39)</f>
        <v>4630600288</v>
      </c>
      <c r="K40" s="20"/>
      <c r="L40" s="27"/>
      <c r="N40" s="27"/>
    </row>
    <row r="41" ht="15.75" customHeight="1">
      <c r="A41" s="28"/>
      <c r="B41" s="29"/>
      <c r="C41" s="29"/>
      <c r="D41" s="29"/>
      <c r="E41" s="29"/>
      <c r="F41" s="29"/>
      <c r="G41" s="29"/>
      <c r="H41" s="29"/>
      <c r="I41" s="29"/>
      <c r="J41" s="29"/>
      <c r="K41" s="30"/>
    </row>
    <row r="42" ht="10.5" customHeight="1">
      <c r="I42" s="37"/>
    </row>
    <row r="43" ht="14.25" customHeight="1">
      <c r="A43" s="31" t="s">
        <v>44</v>
      </c>
    </row>
    <row r="44" ht="14.25" customHeight="1"/>
    <row r="45" ht="14.25" customHeight="1"/>
    <row r="46" ht="14.25" customHeight="1">
      <c r="D46" s="1" t="s">
        <v>45</v>
      </c>
      <c r="I46" s="1" t="s">
        <v>46</v>
      </c>
    </row>
    <row r="47" ht="14.25" customHeight="1">
      <c r="B47" s="32" t="s">
        <v>47</v>
      </c>
      <c r="G47" s="5"/>
      <c r="H47" s="32" t="s">
        <v>48</v>
      </c>
    </row>
    <row r="48" ht="14.25" customHeight="1">
      <c r="B48" s="2" t="s">
        <v>49</v>
      </c>
      <c r="H48" s="2" t="s">
        <v>50</v>
      </c>
    </row>
    <row r="49" ht="12.0" customHeight="1"/>
    <row r="50" ht="12.0" customHeight="1"/>
    <row r="51" ht="15.0" customHeight="1">
      <c r="A51" s="33" t="s">
        <v>51</v>
      </c>
    </row>
    <row r="52" ht="14.25" customHeight="1">
      <c r="A52" s="34"/>
      <c r="B52" s="33" t="s">
        <v>52</v>
      </c>
    </row>
    <row r="53" ht="14.25" customHeight="1">
      <c r="A53" s="35" t="s">
        <v>54</v>
      </c>
    </row>
    <row r="54" ht="14.25" customHeight="1">
      <c r="B54" s="35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H47:J47"/>
    <mergeCell ref="H48:J48"/>
    <mergeCell ref="A51:J51"/>
    <mergeCell ref="B52:J52"/>
    <mergeCell ref="A5:J5"/>
    <mergeCell ref="B10:I10"/>
    <mergeCell ref="A11:J11"/>
    <mergeCell ref="D34:H35"/>
    <mergeCell ref="A43:J44"/>
    <mergeCell ref="B47:F47"/>
    <mergeCell ref="B48:F48"/>
  </mergeCells>
  <printOptions horizontalCentered="1"/>
  <pageMargins bottom="0.39370078740157" footer="0.0" header="0.0" left="0.23622047244094" right="0.23622047244094" top="0.39370078740157"/>
  <pageSetup paperSize="9" orientation="portrait"/>
  <headerFooter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12.86"/>
    <col customWidth="1" min="3" max="3" width="10.0"/>
    <col customWidth="1" min="4" max="4" width="16.86"/>
    <col customWidth="1" min="5" max="6" width="10.0"/>
    <col customWidth="1" min="7" max="7" width="8.71"/>
    <col customWidth="1" min="8" max="8" width="5.57"/>
    <col customWidth="1" min="9" max="10" width="17.71"/>
    <col customWidth="1" min="11" max="11" width="1.57"/>
    <col customWidth="1" min="12" max="12" width="16.86"/>
    <col customWidth="1" min="13" max="13" width="8.71"/>
    <col customWidth="1" min="14" max="14" width="15.29"/>
    <col customWidth="1" min="15" max="26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/>
    <row r="5" ht="14.25" customHeight="1">
      <c r="A5" s="3" t="s">
        <v>2</v>
      </c>
    </row>
    <row r="6" ht="14.25" customHeight="1">
      <c r="A6" s="4"/>
      <c r="B6" s="5"/>
      <c r="C6" s="5"/>
      <c r="D6" s="5"/>
      <c r="E6" s="4"/>
      <c r="F6" s="4"/>
    </row>
    <row r="7" ht="14.25" customHeight="1">
      <c r="A7" s="6" t="s">
        <v>3</v>
      </c>
      <c r="B7" s="2"/>
      <c r="C7" s="2"/>
      <c r="D7" s="6" t="s">
        <v>4</v>
      </c>
      <c r="E7" s="2"/>
      <c r="F7" s="2"/>
      <c r="H7" s="6" t="s">
        <v>5</v>
      </c>
      <c r="I7" s="2"/>
      <c r="J7" s="4">
        <v>2026.0</v>
      </c>
    </row>
    <row r="8" ht="14.25" customHeight="1">
      <c r="A8" s="5" t="s">
        <v>6</v>
      </c>
      <c r="B8" s="2"/>
      <c r="C8" s="2"/>
      <c r="D8" s="1" t="s">
        <v>7</v>
      </c>
      <c r="E8" s="2"/>
      <c r="F8" s="2"/>
      <c r="H8" s="7" t="s">
        <v>8</v>
      </c>
      <c r="I8" s="2"/>
      <c r="J8" s="8">
        <v>1.0</v>
      </c>
    </row>
    <row r="9" ht="14.25" customHeight="1">
      <c r="A9" s="5" t="s">
        <v>9</v>
      </c>
      <c r="B9" s="2"/>
      <c r="C9" s="2"/>
      <c r="D9" s="1" t="s">
        <v>10</v>
      </c>
      <c r="E9" s="2"/>
      <c r="F9" s="2"/>
      <c r="G9" s="2"/>
      <c r="H9" s="2"/>
      <c r="I9" s="2"/>
      <c r="J9" s="2"/>
    </row>
    <row r="10" ht="14.25" customHeight="1">
      <c r="B10" s="2"/>
      <c r="M10" s="9"/>
      <c r="N10" s="9"/>
    </row>
    <row r="11" ht="14.25" customHeight="1">
      <c r="A11" s="3" t="s">
        <v>13</v>
      </c>
    </row>
    <row r="12" ht="14.25" customHeight="1">
      <c r="B12" s="2"/>
      <c r="C12" s="2"/>
      <c r="D12" s="2"/>
      <c r="E12" s="2"/>
      <c r="F12" s="2"/>
      <c r="G12" s="2"/>
      <c r="H12" s="2"/>
      <c r="I12" s="2"/>
    </row>
    <row r="13" ht="14.25" customHeight="1">
      <c r="A13" s="10"/>
      <c r="B13" s="11" t="s">
        <v>14</v>
      </c>
      <c r="C13" s="11"/>
      <c r="D13" s="11"/>
      <c r="E13" s="11"/>
      <c r="F13" s="11"/>
      <c r="G13" s="11"/>
      <c r="H13" s="11"/>
      <c r="I13" s="11"/>
      <c r="J13" s="11"/>
      <c r="K13" s="12"/>
    </row>
    <row r="14" ht="14.25" customHeight="1">
      <c r="A14" s="13"/>
      <c r="C14" s="1" t="s">
        <v>16</v>
      </c>
      <c r="I14" s="16"/>
      <c r="K14" s="14"/>
    </row>
    <row r="15" ht="14.25" customHeight="1">
      <c r="A15" s="13"/>
      <c r="D15" s="1" t="s">
        <v>18</v>
      </c>
      <c r="I15" s="18">
        <v>1.0789551325E8</v>
      </c>
      <c r="K15" s="14"/>
    </row>
    <row r="16" ht="14.25" customHeight="1">
      <c r="A16" s="13"/>
      <c r="D16" s="1" t="s">
        <v>19</v>
      </c>
      <c r="I16" s="18">
        <v>6000577.86</v>
      </c>
      <c r="K16" s="14"/>
    </row>
    <row r="17" ht="14.25" customHeight="1">
      <c r="A17" s="13"/>
      <c r="D17" s="1" t="s">
        <v>21</v>
      </c>
      <c r="I17" s="18">
        <v>231000.0</v>
      </c>
      <c r="K17" s="14"/>
    </row>
    <row r="18" ht="14.25" customHeight="1">
      <c r="A18" s="13"/>
      <c r="D18" s="1" t="s">
        <v>23</v>
      </c>
      <c r="I18" s="15">
        <v>-17996.41</v>
      </c>
      <c r="K18" s="14"/>
    </row>
    <row r="19" ht="14.25" customHeight="1">
      <c r="A19" s="13"/>
      <c r="D19" s="1" t="s">
        <v>24</v>
      </c>
      <c r="I19" s="22">
        <f>SUM(I15:I18)</f>
        <v>114109094.7</v>
      </c>
      <c r="K19" s="14"/>
    </row>
    <row r="20" ht="14.25" customHeight="1">
      <c r="A20" s="13"/>
      <c r="C20" s="1" t="s">
        <v>25</v>
      </c>
      <c r="K20" s="14"/>
    </row>
    <row r="21" ht="14.25" customHeight="1">
      <c r="A21" s="13"/>
      <c r="D21" s="1" t="s">
        <v>26</v>
      </c>
      <c r="I21" s="16">
        <v>6331804.74</v>
      </c>
      <c r="K21" s="14"/>
    </row>
    <row r="22" ht="14.25" customHeight="1">
      <c r="A22" s="13"/>
      <c r="D22" s="1" t="s">
        <v>27</v>
      </c>
      <c r="I22" s="16">
        <v>4570654.98</v>
      </c>
      <c r="K22" s="14"/>
    </row>
    <row r="23" ht="14.25" customHeight="1">
      <c r="A23" s="13"/>
      <c r="D23" s="1" t="s">
        <v>28</v>
      </c>
      <c r="I23" s="16">
        <v>1998313.42</v>
      </c>
      <c r="K23" s="14"/>
    </row>
    <row r="24" ht="14.25" customHeight="1">
      <c r="A24" s="13"/>
      <c r="D24" s="1" t="s">
        <v>29</v>
      </c>
      <c r="I24" s="24">
        <v>-2789988.71</v>
      </c>
      <c r="K24" s="14"/>
    </row>
    <row r="25" ht="14.25" hidden="1" customHeight="1">
      <c r="A25" s="13"/>
      <c r="D25" s="1" t="s">
        <v>23</v>
      </c>
      <c r="I25" s="16">
        <v>0.0</v>
      </c>
      <c r="K25" s="14"/>
    </row>
    <row r="26" ht="14.25" customHeight="1">
      <c r="A26" s="13"/>
      <c r="D26" s="1" t="s">
        <v>31</v>
      </c>
      <c r="I26" s="23">
        <f>SUM(I21:I25)</f>
        <v>10110784.43</v>
      </c>
      <c r="K26" s="14"/>
    </row>
    <row r="27" ht="14.25" customHeight="1">
      <c r="A27" s="13"/>
      <c r="C27" s="1" t="s">
        <v>32</v>
      </c>
      <c r="I27" s="23">
        <f>I19-I26</f>
        <v>103998310.3</v>
      </c>
      <c r="K27" s="14"/>
    </row>
    <row r="28" ht="14.25" customHeight="1">
      <c r="A28" s="13"/>
      <c r="K28" s="14"/>
    </row>
    <row r="29" ht="14.25" customHeight="1">
      <c r="A29" s="13"/>
      <c r="B29" s="1" t="s">
        <v>34</v>
      </c>
      <c r="K29" s="14"/>
    </row>
    <row r="30" ht="14.25" customHeight="1">
      <c r="A30" s="13"/>
      <c r="C30" s="1" t="s">
        <v>25</v>
      </c>
      <c r="K30" s="14"/>
    </row>
    <row r="31" ht="14.25" customHeight="1">
      <c r="A31" s="13"/>
      <c r="D31" s="25" t="s">
        <v>35</v>
      </c>
      <c r="K31" s="14"/>
    </row>
    <row r="32" ht="14.25" customHeight="1">
      <c r="A32" s="13"/>
      <c r="I32" s="16">
        <v>0.0</v>
      </c>
      <c r="K32" s="14"/>
    </row>
    <row r="33" ht="14.25" customHeight="1">
      <c r="A33" s="13"/>
      <c r="C33" s="1" t="s">
        <v>36</v>
      </c>
      <c r="I33" s="23">
        <f>-I32</f>
        <v>0</v>
      </c>
      <c r="K33" s="14"/>
    </row>
    <row r="34" ht="14.25" customHeight="1">
      <c r="A34" s="13"/>
      <c r="K34" s="14"/>
    </row>
    <row r="35" ht="14.25" customHeight="1">
      <c r="A35" s="13"/>
      <c r="K35" s="14"/>
    </row>
    <row r="36" ht="14.25" customHeight="1">
      <c r="A36" s="13" t="s">
        <v>37</v>
      </c>
      <c r="J36" s="16">
        <f>I27+I33</f>
        <v>103998310.3</v>
      </c>
      <c r="K36" s="14"/>
    </row>
    <row r="37" ht="14.25" customHeight="1">
      <c r="A37" s="13" t="s">
        <v>38</v>
      </c>
      <c r="J37" s="19">
        <v>2.23271572103E9</v>
      </c>
      <c r="K37" s="14"/>
    </row>
    <row r="38" ht="15.75" customHeight="1">
      <c r="A38" s="13" t="s">
        <v>40</v>
      </c>
      <c r="J38" s="26">
        <f>SUM(J36:J37)</f>
        <v>2336714031</v>
      </c>
      <c r="K38" s="20"/>
      <c r="L38" s="16"/>
      <c r="N38" s="27"/>
    </row>
    <row r="39" ht="15.75" customHeight="1">
      <c r="A39" s="28"/>
      <c r="B39" s="29"/>
      <c r="C39" s="29"/>
      <c r="D39" s="29"/>
      <c r="E39" s="29"/>
      <c r="F39" s="29"/>
      <c r="G39" s="29"/>
      <c r="H39" s="29"/>
      <c r="I39" s="29"/>
      <c r="J39" s="24"/>
      <c r="K39" s="30"/>
    </row>
    <row r="40" ht="14.25" customHeight="1">
      <c r="J40" s="16"/>
    </row>
    <row r="41" ht="14.25" customHeight="1">
      <c r="A41" s="31" t="s">
        <v>44</v>
      </c>
    </row>
    <row r="42" ht="14.25" customHeight="1"/>
    <row r="43" ht="14.25" customHeight="1"/>
    <row r="44" ht="14.25" customHeight="1">
      <c r="D44" s="1" t="s">
        <v>45</v>
      </c>
      <c r="I44" s="1" t="s">
        <v>46</v>
      </c>
    </row>
    <row r="45" ht="14.25" customHeight="1">
      <c r="B45" s="32" t="s">
        <v>47</v>
      </c>
      <c r="G45" s="5"/>
      <c r="H45" s="32" t="s">
        <v>48</v>
      </c>
    </row>
    <row r="46" ht="14.25" customHeight="1">
      <c r="B46" s="2" t="s">
        <v>49</v>
      </c>
      <c r="H46" s="2" t="s">
        <v>50</v>
      </c>
    </row>
    <row r="47" ht="12.0" customHeight="1"/>
    <row r="48" ht="12.0" customHeight="1"/>
    <row r="49" ht="16.5" customHeight="1">
      <c r="A49" s="33" t="s">
        <v>51</v>
      </c>
    </row>
    <row r="50" ht="15.0" customHeight="1">
      <c r="A50" s="34"/>
      <c r="B50" s="33" t="s">
        <v>52</v>
      </c>
      <c r="K50" s="35" t="s">
        <v>53</v>
      </c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4.25" customHeight="1">
      <c r="A51" s="35" t="s">
        <v>54</v>
      </c>
    </row>
    <row r="52" ht="14.25" customHeight="1">
      <c r="B52" s="35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H45:J45"/>
    <mergeCell ref="H46:J46"/>
    <mergeCell ref="A49:J49"/>
    <mergeCell ref="B50:J50"/>
    <mergeCell ref="A5:J5"/>
    <mergeCell ref="B10:I10"/>
    <mergeCell ref="A11:J11"/>
    <mergeCell ref="D31:H32"/>
    <mergeCell ref="A41:J42"/>
    <mergeCell ref="B45:F45"/>
    <mergeCell ref="B46:F46"/>
  </mergeCells>
  <printOptions horizontalCentered="1"/>
  <pageMargins bottom="0.51181102362205" footer="0.0" header="0.0" left="0.23622047244094" right="0.23622047244094" top="0.51181102362205"/>
  <pageSetup paperSize="9" orientation="portrait"/>
  <headerFooter>
    <oddFooter/>
  </headerFooter>
  <colBreaks count="1" manualBreakCount="1">
    <brk id="11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43"/>
    <col customWidth="1" min="2" max="6" width="10.71"/>
    <col customWidth="1" min="7" max="7" width="8.71"/>
    <col customWidth="1" min="8" max="8" width="11.29"/>
    <col customWidth="1" min="9" max="10" width="17.71"/>
    <col customWidth="1" min="11" max="11" width="1.43"/>
    <col customWidth="1" min="12" max="12" width="15.29"/>
    <col customWidth="1" min="13" max="13" width="14.29"/>
    <col customWidth="1" min="14" max="26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3" t="s">
        <v>2</v>
      </c>
    </row>
    <row r="5" ht="14.25" customHeight="1">
      <c r="A5" s="4"/>
      <c r="B5" s="5"/>
      <c r="C5" s="5"/>
      <c r="D5" s="5"/>
      <c r="E5" s="4"/>
      <c r="F5" s="4"/>
    </row>
    <row r="6" ht="14.25" customHeight="1">
      <c r="A6" s="6" t="s">
        <v>3</v>
      </c>
      <c r="B6" s="2"/>
      <c r="C6" s="2"/>
      <c r="D6" s="6" t="s">
        <v>4</v>
      </c>
      <c r="E6" s="2"/>
      <c r="F6" s="2"/>
      <c r="H6" s="6" t="s">
        <v>5</v>
      </c>
      <c r="I6" s="2"/>
      <c r="J6" s="4">
        <v>2026.0</v>
      </c>
    </row>
    <row r="7" ht="14.25" customHeight="1">
      <c r="A7" s="5" t="s">
        <v>6</v>
      </c>
      <c r="B7" s="2"/>
      <c r="C7" s="2"/>
      <c r="D7" s="1" t="s">
        <v>7</v>
      </c>
      <c r="E7" s="2"/>
      <c r="F7" s="2"/>
      <c r="H7" s="7" t="s">
        <v>8</v>
      </c>
      <c r="I7" s="2"/>
      <c r="J7" s="8">
        <v>1.0</v>
      </c>
    </row>
    <row r="8" ht="14.25" customHeight="1">
      <c r="A8" s="5" t="s">
        <v>9</v>
      </c>
      <c r="B8" s="2"/>
      <c r="C8" s="2"/>
      <c r="D8" s="1" t="s">
        <v>10</v>
      </c>
      <c r="E8" s="2"/>
      <c r="F8" s="2"/>
      <c r="G8" s="2"/>
      <c r="H8" s="2"/>
      <c r="I8" s="2"/>
      <c r="J8" s="2"/>
    </row>
    <row r="9" ht="14.25" customHeight="1"/>
    <row r="10" ht="14.25" customHeight="1">
      <c r="A10" s="3" t="s">
        <v>11</v>
      </c>
    </row>
    <row r="11" ht="14.25" customHeight="1"/>
    <row r="12" ht="14.25" customHeight="1">
      <c r="A12" s="10"/>
      <c r="B12" s="11" t="s">
        <v>14</v>
      </c>
      <c r="C12" s="11"/>
      <c r="D12" s="11"/>
      <c r="E12" s="11"/>
      <c r="F12" s="11"/>
      <c r="G12" s="11"/>
      <c r="H12" s="11"/>
      <c r="I12" s="11"/>
      <c r="J12" s="11"/>
      <c r="K12" s="12"/>
    </row>
    <row r="13" ht="14.25" customHeight="1">
      <c r="A13" s="13"/>
      <c r="C13" s="1" t="s">
        <v>16</v>
      </c>
      <c r="K13" s="14"/>
    </row>
    <row r="14" ht="14.25" customHeight="1">
      <c r="A14" s="13"/>
      <c r="D14" s="1" t="s">
        <v>17</v>
      </c>
      <c r="I14" s="15">
        <v>1500.0</v>
      </c>
      <c r="K14" s="14"/>
    </row>
    <row r="15" ht="14.25" customHeight="1">
      <c r="A15" s="13"/>
      <c r="D15" s="1" t="s">
        <v>19</v>
      </c>
      <c r="I15" s="15">
        <v>1499079.42</v>
      </c>
      <c r="K15" s="14"/>
    </row>
    <row r="16" ht="14.25" customHeight="1">
      <c r="A16" s="13"/>
      <c r="D16" s="1" t="s">
        <v>21</v>
      </c>
      <c r="I16" s="15">
        <v>2.474885556E7</v>
      </c>
      <c r="K16" s="14"/>
      <c r="L16" s="17"/>
    </row>
    <row r="17" ht="14.25" customHeight="1">
      <c r="A17" s="13"/>
      <c r="D17" s="1" t="s">
        <v>23</v>
      </c>
      <c r="I17" s="19">
        <f>12251.43-771.37</f>
        <v>11480.06</v>
      </c>
      <c r="K17" s="14"/>
      <c r="L17" s="17"/>
      <c r="M17" s="21"/>
    </row>
    <row r="18" ht="14.25" customHeight="1">
      <c r="A18" s="13"/>
      <c r="D18" s="1" t="s">
        <v>24</v>
      </c>
      <c r="I18" s="23">
        <f>SUM(I14:I17)</f>
        <v>26260915.04</v>
      </c>
      <c r="K18" s="14"/>
    </row>
    <row r="19" ht="14.25" customHeight="1">
      <c r="A19" s="13"/>
      <c r="C19" s="1" t="s">
        <v>25</v>
      </c>
      <c r="I19" s="4"/>
      <c r="K19" s="14"/>
    </row>
    <row r="20" ht="14.25" customHeight="1">
      <c r="A20" s="13"/>
      <c r="D20" s="1" t="s">
        <v>26</v>
      </c>
      <c r="I20" s="15">
        <v>5.917828575E7</v>
      </c>
      <c r="K20" s="14"/>
      <c r="L20" s="17"/>
    </row>
    <row r="21" ht="14.25" customHeight="1">
      <c r="A21" s="13"/>
      <c r="D21" s="1" t="s">
        <v>30</v>
      </c>
      <c r="I21" s="18">
        <v>1725401.19</v>
      </c>
      <c r="K21" s="14"/>
      <c r="L21" s="17"/>
    </row>
    <row r="22" ht="14.25" customHeight="1">
      <c r="A22" s="13"/>
      <c r="D22" s="1" t="s">
        <v>28</v>
      </c>
      <c r="I22" s="15">
        <v>7.897855E7</v>
      </c>
      <c r="K22" s="14"/>
      <c r="L22" s="17"/>
    </row>
    <row r="23" ht="14.25" customHeight="1">
      <c r="A23" s="13"/>
      <c r="D23" s="1" t="s">
        <v>29</v>
      </c>
      <c r="I23" s="19">
        <f>7968531-12519.94</f>
        <v>7956011.06</v>
      </c>
      <c r="K23" s="14"/>
      <c r="L23" s="17"/>
    </row>
    <row r="24" ht="14.25" hidden="1" customHeight="1">
      <c r="A24" s="13"/>
      <c r="D24" s="1" t="s">
        <v>23</v>
      </c>
      <c r="I24" s="19"/>
      <c r="K24" s="14"/>
      <c r="L24" s="17"/>
    </row>
    <row r="25" ht="14.25" customHeight="1">
      <c r="A25" s="13"/>
      <c r="D25" s="1" t="s">
        <v>31</v>
      </c>
      <c r="I25" s="23">
        <f>SUM(I20:I24)</f>
        <v>147838248</v>
      </c>
      <c r="K25" s="14"/>
    </row>
    <row r="26" ht="14.25" customHeight="1">
      <c r="A26" s="13"/>
      <c r="C26" s="1" t="s">
        <v>32</v>
      </c>
      <c r="I26" s="23">
        <f>I18-I25</f>
        <v>-121577333</v>
      </c>
      <c r="K26" s="14"/>
    </row>
    <row r="27" ht="14.25" customHeight="1">
      <c r="A27" s="13"/>
      <c r="I27" s="16"/>
      <c r="K27" s="14"/>
    </row>
    <row r="28" ht="14.25" customHeight="1">
      <c r="A28" s="13"/>
      <c r="B28" s="1" t="s">
        <v>39</v>
      </c>
      <c r="I28" s="16"/>
      <c r="K28" s="14"/>
    </row>
    <row r="29" ht="14.25" customHeight="1">
      <c r="A29" s="13"/>
      <c r="C29" s="1" t="s">
        <v>25</v>
      </c>
      <c r="I29" s="16"/>
      <c r="K29" s="14"/>
    </row>
    <row r="30" ht="14.25" customHeight="1">
      <c r="A30" s="13"/>
      <c r="D30" s="25" t="s">
        <v>41</v>
      </c>
      <c r="I30" s="16"/>
      <c r="K30" s="14"/>
    </row>
    <row r="31" ht="14.25" customHeight="1">
      <c r="A31" s="13"/>
      <c r="I31" s="16">
        <v>0.0</v>
      </c>
      <c r="K31" s="14"/>
    </row>
    <row r="32" ht="14.25" customHeight="1">
      <c r="A32" s="13"/>
      <c r="C32" s="1" t="s">
        <v>36</v>
      </c>
      <c r="I32" s="23">
        <f>-I31</f>
        <v>0</v>
      </c>
      <c r="K32" s="14"/>
    </row>
    <row r="33" ht="14.25" customHeight="1">
      <c r="A33" s="13"/>
      <c r="K33" s="14"/>
    </row>
    <row r="34" ht="14.25" customHeight="1">
      <c r="A34" s="13" t="s">
        <v>37</v>
      </c>
      <c r="J34" s="16">
        <f>I26+I32</f>
        <v>-121577333</v>
      </c>
      <c r="K34" s="14"/>
    </row>
    <row r="35" ht="14.25" customHeight="1">
      <c r="A35" s="13" t="s">
        <v>38</v>
      </c>
      <c r="J35" s="19">
        <v>2.18113128697E9</v>
      </c>
      <c r="K35" s="14"/>
    </row>
    <row r="36" ht="16.5" customHeight="1">
      <c r="A36" s="13" t="s">
        <v>40</v>
      </c>
      <c r="J36" s="26">
        <f>SUM(J34:J35)</f>
        <v>2059553954</v>
      </c>
      <c r="K36" s="20"/>
      <c r="L36" s="16"/>
      <c r="M36" s="27"/>
    </row>
    <row r="37" ht="16.5" customHeight="1">
      <c r="A37" s="28"/>
      <c r="B37" s="29"/>
      <c r="C37" s="29"/>
      <c r="D37" s="29"/>
      <c r="E37" s="29"/>
      <c r="F37" s="29"/>
      <c r="G37" s="29"/>
      <c r="H37" s="29"/>
      <c r="I37" s="29"/>
      <c r="J37" s="24"/>
      <c r="K37" s="36"/>
      <c r="L37" s="16"/>
      <c r="M37" s="27"/>
    </row>
    <row r="38" ht="14.25" customHeight="1"/>
    <row r="39" ht="14.25" customHeight="1">
      <c r="A39" s="31" t="s">
        <v>44</v>
      </c>
    </row>
    <row r="40" ht="14.25" customHeight="1"/>
    <row r="41" ht="14.25" customHeight="1"/>
    <row r="42" ht="14.25" customHeight="1">
      <c r="D42" s="1" t="s">
        <v>45</v>
      </c>
      <c r="I42" s="1" t="s">
        <v>46</v>
      </c>
    </row>
    <row r="43" ht="14.25" customHeight="1">
      <c r="B43" s="32" t="s">
        <v>47</v>
      </c>
      <c r="G43" s="5"/>
      <c r="H43" s="32" t="s">
        <v>48</v>
      </c>
    </row>
    <row r="44" ht="14.25" customHeight="1">
      <c r="B44" s="2" t="s">
        <v>49</v>
      </c>
      <c r="H44" s="2" t="s">
        <v>50</v>
      </c>
    </row>
    <row r="45" ht="12.0" customHeight="1"/>
    <row r="46" ht="12.0" customHeight="1"/>
    <row r="47" ht="16.5" customHeight="1">
      <c r="A47" s="33" t="s">
        <v>51</v>
      </c>
    </row>
    <row r="48" ht="15.0" customHeight="1">
      <c r="A48" s="34"/>
      <c r="B48" s="33" t="s">
        <v>52</v>
      </c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4.25" customHeight="1">
      <c r="A49" s="35" t="s">
        <v>54</v>
      </c>
    </row>
    <row r="50" ht="14.25" customHeight="1">
      <c r="B50" s="35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B44:F44"/>
    <mergeCell ref="A47:J47"/>
    <mergeCell ref="B48:J48"/>
    <mergeCell ref="A4:J4"/>
    <mergeCell ref="A10:J10"/>
    <mergeCell ref="D30:H31"/>
    <mergeCell ref="A39:J40"/>
    <mergeCell ref="B43:F43"/>
    <mergeCell ref="H43:J43"/>
    <mergeCell ref="H44:J44"/>
  </mergeCells>
  <printOptions horizontalCentered="1"/>
  <pageMargins bottom="0.51181102362205" footer="0.0" header="0.0" left="0.23622047244094" right="0.23622047244094" top="0.51181102362205"/>
  <pageSetup paperSize="9" orientation="portrait"/>
  <headerFooter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2020-06-16T09:49:17+08:00</dcterms:created>
  <dc:creator>jptejano</dc:creator>
</cp:coreProperties>
</file>